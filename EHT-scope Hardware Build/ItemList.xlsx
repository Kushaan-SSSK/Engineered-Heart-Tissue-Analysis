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u/Library/CloudStorage/GoogleDrive-william.pu@enders.tch.harvard.edu/Shared drives/Cardio-Pu/ManuscriptsInProgress/2025_NatureProt_sCMs_SCP_EHTs/Figures/EHT items/"/>
    </mc:Choice>
  </mc:AlternateContent>
  <xr:revisionPtr revIDLastSave="0" documentId="13_ncr:1_{D04D0C0F-3009-7B49-A920-FA9F761B7994}" xr6:coauthVersionLast="47" xr6:coauthVersionMax="47" xr10:uidLastSave="{00000000-0000-0000-0000-000000000000}"/>
  <bookViews>
    <workbookView xWindow="3940" yWindow="1220" windowWidth="23040" windowHeight="19880" xr2:uid="{26394913-6348-9F44-8A02-B87D49765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16" i="1"/>
  <c r="F22" i="1"/>
  <c r="F33" i="1"/>
  <c r="F32" i="1"/>
  <c r="F31" i="1"/>
  <c r="F8" i="1"/>
  <c r="F28" i="1"/>
  <c r="F27" i="1"/>
  <c r="F26" i="1"/>
  <c r="F25" i="1"/>
  <c r="F21" i="1"/>
  <c r="F20" i="1"/>
  <c r="F19" i="1"/>
  <c r="F18" i="1"/>
  <c r="F17" i="1"/>
  <c r="F15" i="1"/>
  <c r="F14" i="1"/>
  <c r="F13" i="1"/>
  <c r="F7" i="1"/>
  <c r="F6" i="1"/>
  <c r="F5" i="1"/>
  <c r="F4" i="1"/>
  <c r="F3" i="1"/>
  <c r="F2" i="1"/>
  <c r="F35" i="1" l="1"/>
</calcChain>
</file>

<file path=xl/sharedStrings.xml><?xml version="1.0" encoding="utf-8"?>
<sst xmlns="http://schemas.openxmlformats.org/spreadsheetml/2006/main" count="108" uniqueCount="90">
  <si>
    <t>Item</t>
  </si>
  <si>
    <t>Vendor</t>
  </si>
  <si>
    <t>Part #</t>
  </si>
  <si>
    <t>Number</t>
  </si>
  <si>
    <t>Price</t>
  </si>
  <si>
    <t>Total</t>
  </si>
  <si>
    <t xml:space="preserve">MVL8M1 </t>
  </si>
  <si>
    <t>Camera Lens</t>
  </si>
  <si>
    <t>ThorLabs</t>
  </si>
  <si>
    <t>Aluminum breadboard, 300x600mmx12.7</t>
  </si>
  <si>
    <t>MB3060U/M</t>
  </si>
  <si>
    <t>4 rubber damping feet</t>
  </si>
  <si>
    <t>RDF1</t>
  </si>
  <si>
    <t>Right angle bracket for breadboard</t>
  </si>
  <si>
    <t>AB90A/M</t>
  </si>
  <si>
    <t>BASLER acA1920-155µm-2MP-USB3</t>
  </si>
  <si>
    <t>Lab Products Inc</t>
  </si>
  <si>
    <t>Long-pass edge filter</t>
  </si>
  <si>
    <t>SEMROCK</t>
  </si>
  <si>
    <t>BLP02-561R-25</t>
  </si>
  <si>
    <t>M5270-1920-155µm</t>
  </si>
  <si>
    <t>Prior stage, H101A</t>
  </si>
  <si>
    <t>~$1400 used</t>
  </si>
  <si>
    <t>H101A</t>
  </si>
  <si>
    <t>Prior Scientific</t>
  </si>
  <si>
    <t>Arduino</t>
  </si>
  <si>
    <t>RGB LCD Shield Kit</t>
  </si>
  <si>
    <t>3w High Power LED, Blue</t>
  </si>
  <si>
    <t>BL-3W-120-03</t>
  </si>
  <si>
    <t>PCBoard.ca</t>
  </si>
  <si>
    <t>LED Driver kit</t>
  </si>
  <si>
    <t>Driver Board Kit (High Power) PWM</t>
  </si>
  <si>
    <t>Strip heatsink for high power LEDs</t>
  </si>
  <si>
    <t>Heatsink 150x20x6mm</t>
  </si>
  <si>
    <t>MINI-STAR-LENS</t>
  </si>
  <si>
    <t>Minature lens for high power LEDS, 15 degrees</t>
  </si>
  <si>
    <t>Actuonix</t>
  </si>
  <si>
    <t>T16-100-22-12-P-LAC</t>
  </si>
  <si>
    <t>Linear actuator with control board</t>
  </si>
  <si>
    <t>Power supply for linear actuator</t>
  </si>
  <si>
    <t>DCPOWER-6</t>
  </si>
  <si>
    <t>Adafruit</t>
  </si>
  <si>
    <t>NeoPixel Ring Light</t>
  </si>
  <si>
    <t>8020 T-track</t>
  </si>
  <si>
    <t>80/20 Inc</t>
  </si>
  <si>
    <t>4x96"</t>
  </si>
  <si>
    <t>Corner plate</t>
  </si>
  <si>
    <t>4152 black</t>
  </si>
  <si>
    <t>T plate</t>
  </si>
  <si>
    <t>4080 black</t>
  </si>
  <si>
    <t>Bolt assemblies</t>
  </si>
  <si>
    <t>Teflon slider</t>
  </si>
  <si>
    <t>6" Vertical Bracket</t>
  </si>
  <si>
    <t>VB01A/M</t>
  </si>
  <si>
    <t>Amazon</t>
  </si>
  <si>
    <t>B076LSF2L6</t>
  </si>
  <si>
    <t>B07BS1XRN4</t>
  </si>
  <si>
    <t>10x BNC to BNC connector</t>
  </si>
  <si>
    <t>female BNC panel mount</t>
  </si>
  <si>
    <t>B07V1SWM9J</t>
  </si>
  <si>
    <t>Stage top incubator</t>
  </si>
  <si>
    <t>*we used this because it was on hand, but an stage for an inverted scope would have been prefereable. It was modified with a plate to fit an IX70</t>
  </si>
  <si>
    <t>3D printed</t>
  </si>
  <si>
    <t>Filename</t>
  </si>
  <si>
    <t>Description</t>
  </si>
  <si>
    <t>ActuatorHolderV2.stl</t>
  </si>
  <si>
    <t>Mounts the linear actuator on the 80/20 vertical strut</t>
  </si>
  <si>
    <t>Arduino simple 4 channel ttl bottom.stl</t>
  </si>
  <si>
    <t>Holds the Arduino with BNC outputs. File copied from https://optogeneticsandneuralengineeringcore.gitlab.io/ONECoreSite/projects/Arduino%20TTL%20Pulse%20Generator%20and%20Controller/</t>
  </si>
  <si>
    <t>Arduino simple 4 channel ttl top.stl</t>
  </si>
  <si>
    <t>Top for the arduino case. From same source as above.</t>
  </si>
  <si>
    <t>CameraMountv2.stl</t>
  </si>
  <si>
    <t>Mounts the camera to the linear actuator</t>
  </si>
  <si>
    <t>LED_LPFilter_holder -- 54 mm -- slip.stl</t>
  </si>
  <si>
    <t>Mounts the ring light and long pass filter on top of the lens</t>
  </si>
  <si>
    <t>LED_Power_holder.stl</t>
  </si>
  <si>
    <t>Box to hold the LED driver</t>
  </si>
  <si>
    <t>LinearActuatorController_Holder.stl</t>
  </si>
  <si>
    <t>Box to hold the linar actuator controller</t>
  </si>
  <si>
    <t>stagetop bottle holder.stl</t>
  </si>
  <si>
    <t>Holds the Arduino with BNC outputs. File copied from https://optogeneticsandneuralengineeringcore.gitlab.io/ONECoreSite/projects/Arduino%20TTL%20Pulse%20Generator%20and%Holds the bottle for the stage top incubator</t>
  </si>
  <si>
    <t>AC-DC tranformer for ring light</t>
  </si>
  <si>
    <t>AC-DC tranformer for high power LED 12V</t>
  </si>
  <si>
    <t>ADAPTER-12V/2A</t>
  </si>
  <si>
    <t>Micro USB 3.0 cable (3.0A to micro B)</t>
  </si>
  <si>
    <t>Silicone Posts to cast EHTs</t>
  </si>
  <si>
    <t>DinaBios</t>
  </si>
  <si>
    <t>C0001w</t>
  </si>
  <si>
    <t>Home Depot</t>
  </si>
  <si>
    <t>Aluminum bar, 1.5" x 3 ft x 1/8"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</si>
</sst>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2"/>
      <color theme="1"/>
      <name val="Aptos Narrow"/>
      <family val="2"/>
      <scheme val="minor"/>
    </font>
    <font>
      <sz val="10"/>
      <color rgb="FF444444"/>
      <name val="Arial"/>
      <family val="2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0" fontId="1" fillId="0" borderId="0" xfId="0" applyFont="1"/>
    <xf numFmtId="0" fontId="2" fillId="0" borderId="0" xfId="0" applyFont="1"/>
    <xf numFmtId="6" fontId="0" fillId="0" borderId="0" xfId="0" applyNumberFormat="1"/>
    <xf numFmtId="0" fontId="3" fillId="0" borderId="0" xfId="0" applyFont="1"/>
    <xf numFmtId="0" fontId="0" fillId="0" borderId="0" xfId="0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F2CE-2A97-BB48-A46A-F7F7DD7DDF84}">
  <dimension ref="A1:G49"/>
  <sheetViews>
    <sheetView tabSelected="1" workbookViewId="0">
      <selection activeCell="F29" sqref="F29"/>
    </sheetView>
  </sheetViews>
  <sheetFormatPr baseColWidth="10" defaultRowHeight="16" x14ac:dyDescent="0.2"/>
  <cols>
    <col min="1" max="1" width="38" customWidth="1"/>
    <col min="2" max="2" width="15.6640625" customWidth="1"/>
    <col min="3" max="3" width="29.33203125" customWidth="1"/>
    <col min="7" max="7" width="54.16406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">
      <c r="A2" t="s">
        <v>7</v>
      </c>
      <c r="B2" t="s">
        <v>8</v>
      </c>
      <c r="C2" t="s">
        <v>6</v>
      </c>
      <c r="D2">
        <v>1</v>
      </c>
      <c r="E2" s="1">
        <v>572.58000000000004</v>
      </c>
      <c r="F2" s="1">
        <f>E2*D2</f>
        <v>572.58000000000004</v>
      </c>
    </row>
    <row r="3" spans="1:7" x14ac:dyDescent="0.2">
      <c r="A3" t="s">
        <v>15</v>
      </c>
      <c r="B3" t="s">
        <v>16</v>
      </c>
      <c r="C3" t="s">
        <v>20</v>
      </c>
      <c r="D3">
        <v>1</v>
      </c>
      <c r="E3" s="1">
        <v>931.35</v>
      </c>
      <c r="F3" s="1">
        <f t="shared" ref="F3:F7" si="0">E3*D3</f>
        <v>931.35</v>
      </c>
    </row>
    <row r="4" spans="1:7" x14ac:dyDescent="0.2">
      <c r="A4" t="s">
        <v>17</v>
      </c>
      <c r="B4" t="s">
        <v>18</v>
      </c>
      <c r="C4" t="s">
        <v>19</v>
      </c>
      <c r="D4">
        <v>1</v>
      </c>
      <c r="E4" s="1">
        <v>375</v>
      </c>
      <c r="F4" s="1">
        <f t="shared" si="0"/>
        <v>375</v>
      </c>
    </row>
    <row r="5" spans="1:7" x14ac:dyDescent="0.2">
      <c r="A5" t="s">
        <v>9</v>
      </c>
      <c r="B5" t="s">
        <v>8</v>
      </c>
      <c r="C5" t="s">
        <v>10</v>
      </c>
      <c r="D5">
        <v>1</v>
      </c>
      <c r="E5" s="1">
        <v>305.29000000000002</v>
      </c>
      <c r="F5" s="1">
        <f t="shared" si="0"/>
        <v>305.29000000000002</v>
      </c>
    </row>
    <row r="6" spans="1:7" x14ac:dyDescent="0.2">
      <c r="A6" t="s">
        <v>11</v>
      </c>
      <c r="B6" t="s">
        <v>8</v>
      </c>
      <c r="C6" t="s">
        <v>12</v>
      </c>
      <c r="D6">
        <v>1</v>
      </c>
      <c r="E6" s="1">
        <v>11.14</v>
      </c>
      <c r="F6" s="1">
        <f t="shared" si="0"/>
        <v>11.14</v>
      </c>
    </row>
    <row r="7" spans="1:7" x14ac:dyDescent="0.2">
      <c r="A7" t="s">
        <v>13</v>
      </c>
      <c r="B7" t="s">
        <v>8</v>
      </c>
      <c r="C7" t="s">
        <v>14</v>
      </c>
      <c r="D7">
        <v>4</v>
      </c>
      <c r="E7" s="1">
        <v>27.85</v>
      </c>
      <c r="F7" s="1">
        <f t="shared" si="0"/>
        <v>111.4</v>
      </c>
    </row>
    <row r="8" spans="1:7" x14ac:dyDescent="0.2">
      <c r="A8" t="s">
        <v>52</v>
      </c>
      <c r="B8" t="s">
        <v>8</v>
      </c>
      <c r="C8" t="s">
        <v>53</v>
      </c>
      <c r="D8">
        <v>2</v>
      </c>
      <c r="E8" s="1">
        <v>77.37</v>
      </c>
      <c r="F8" s="1">
        <f>E8*D8</f>
        <v>154.74</v>
      </c>
    </row>
    <row r="9" spans="1:7" ht="51" x14ac:dyDescent="0.2">
      <c r="A9" t="s">
        <v>21</v>
      </c>
      <c r="B9" t="s">
        <v>24</v>
      </c>
      <c r="C9" t="s">
        <v>23</v>
      </c>
      <c r="D9">
        <v>1</v>
      </c>
      <c r="E9" t="s">
        <v>22</v>
      </c>
      <c r="F9" s="4">
        <v>1400</v>
      </c>
      <c r="G9" s="6" t="s">
        <v>61</v>
      </c>
    </row>
    <row r="10" spans="1:7" x14ac:dyDescent="0.2">
      <c r="A10" t="s">
        <v>60</v>
      </c>
      <c r="F10" s="4"/>
    </row>
    <row r="12" spans="1:7" x14ac:dyDescent="0.2">
      <c r="A12" t="s">
        <v>25</v>
      </c>
    </row>
    <row r="13" spans="1:7" x14ac:dyDescent="0.2">
      <c r="A13" t="s">
        <v>26</v>
      </c>
      <c r="B13" t="s">
        <v>41</v>
      </c>
      <c r="C13" s="8">
        <v>716</v>
      </c>
      <c r="D13">
        <v>1</v>
      </c>
      <c r="E13" s="1">
        <v>23.95</v>
      </c>
      <c r="F13" s="1">
        <f t="shared" ref="F13:F33" si="1">E13*D13</f>
        <v>23.95</v>
      </c>
    </row>
    <row r="14" spans="1:7" x14ac:dyDescent="0.2">
      <c r="A14" t="s">
        <v>27</v>
      </c>
      <c r="B14" t="s">
        <v>29</v>
      </c>
      <c r="C14" t="s">
        <v>28</v>
      </c>
      <c r="D14">
        <v>2</v>
      </c>
      <c r="E14" s="1">
        <v>2.75</v>
      </c>
      <c r="F14" s="1">
        <f t="shared" si="1"/>
        <v>5.5</v>
      </c>
    </row>
    <row r="15" spans="1:7" x14ac:dyDescent="0.2">
      <c r="A15" t="s">
        <v>30</v>
      </c>
      <c r="B15" t="s">
        <v>29</v>
      </c>
      <c r="C15" t="s">
        <v>31</v>
      </c>
      <c r="D15">
        <v>1</v>
      </c>
      <c r="E15" s="1">
        <v>15.95</v>
      </c>
      <c r="F15" s="1">
        <f t="shared" si="1"/>
        <v>15.95</v>
      </c>
    </row>
    <row r="16" spans="1:7" x14ac:dyDescent="0.2">
      <c r="A16" t="s">
        <v>82</v>
      </c>
      <c r="B16" t="s">
        <v>29</v>
      </c>
      <c r="C16" t="s">
        <v>83</v>
      </c>
      <c r="D16">
        <v>1</v>
      </c>
      <c r="E16" s="1">
        <v>12.7</v>
      </c>
      <c r="F16" s="1">
        <f t="shared" si="1"/>
        <v>12.7</v>
      </c>
    </row>
    <row r="17" spans="1:6" x14ac:dyDescent="0.2">
      <c r="A17" t="s">
        <v>32</v>
      </c>
      <c r="B17" t="s">
        <v>29</v>
      </c>
      <c r="C17" t="s">
        <v>33</v>
      </c>
      <c r="D17">
        <v>1</v>
      </c>
      <c r="E17" s="1">
        <v>1.8</v>
      </c>
      <c r="F17" s="1">
        <f t="shared" si="1"/>
        <v>1.8</v>
      </c>
    </row>
    <row r="18" spans="1:6" x14ac:dyDescent="0.2">
      <c r="A18" t="s">
        <v>35</v>
      </c>
      <c r="B18" t="s">
        <v>29</v>
      </c>
      <c r="C18" s="7" t="s">
        <v>34</v>
      </c>
      <c r="D18">
        <v>2</v>
      </c>
      <c r="E18" s="1">
        <v>0.9</v>
      </c>
      <c r="F18" s="1">
        <f t="shared" si="1"/>
        <v>1.8</v>
      </c>
    </row>
    <row r="19" spans="1:6" x14ac:dyDescent="0.2">
      <c r="A19" t="s">
        <v>38</v>
      </c>
      <c r="B19" t="s">
        <v>36</v>
      </c>
      <c r="C19" t="s">
        <v>37</v>
      </c>
      <c r="D19">
        <v>1</v>
      </c>
      <c r="E19" s="4">
        <v>110</v>
      </c>
      <c r="F19" s="1">
        <f t="shared" si="1"/>
        <v>110</v>
      </c>
    </row>
    <row r="20" spans="1:6" x14ac:dyDescent="0.2">
      <c r="A20" t="s">
        <v>39</v>
      </c>
      <c r="B20" t="s">
        <v>36</v>
      </c>
      <c r="C20" t="s">
        <v>40</v>
      </c>
      <c r="D20">
        <v>1</v>
      </c>
      <c r="E20" s="4">
        <v>10</v>
      </c>
      <c r="F20" s="1">
        <f t="shared" si="1"/>
        <v>10</v>
      </c>
    </row>
    <row r="21" spans="1:6" x14ac:dyDescent="0.2">
      <c r="A21" t="s">
        <v>42</v>
      </c>
      <c r="B21" t="s">
        <v>41</v>
      </c>
      <c r="C21" s="8">
        <v>2855</v>
      </c>
      <c r="D21">
        <v>1</v>
      </c>
      <c r="E21" s="1">
        <v>11.95</v>
      </c>
      <c r="F21" s="1">
        <f t="shared" si="1"/>
        <v>11.95</v>
      </c>
    </row>
    <row r="22" spans="1:6" x14ac:dyDescent="0.2">
      <c r="A22" t="s">
        <v>81</v>
      </c>
      <c r="B22" t="s">
        <v>41</v>
      </c>
      <c r="C22" s="8">
        <v>276</v>
      </c>
      <c r="D22">
        <v>1</v>
      </c>
      <c r="E22" s="1">
        <v>7.95</v>
      </c>
      <c r="F22" s="1">
        <f t="shared" si="1"/>
        <v>7.95</v>
      </c>
    </row>
    <row r="24" spans="1:6" x14ac:dyDescent="0.2">
      <c r="A24" t="s">
        <v>43</v>
      </c>
      <c r="B24" t="s">
        <v>44</v>
      </c>
      <c r="C24" s="8">
        <v>1010</v>
      </c>
      <c r="D24" t="s">
        <v>45</v>
      </c>
      <c r="E24" s="1">
        <v>24.03</v>
      </c>
      <c r="F24" s="1">
        <v>96.12</v>
      </c>
    </row>
    <row r="25" spans="1:6" x14ac:dyDescent="0.2">
      <c r="A25" t="s">
        <v>46</v>
      </c>
      <c r="B25" t="s">
        <v>44</v>
      </c>
      <c r="C25" t="s">
        <v>47</v>
      </c>
      <c r="D25">
        <v>12</v>
      </c>
      <c r="E25" s="1">
        <v>8.6300000000000008</v>
      </c>
      <c r="F25" s="1">
        <f t="shared" si="1"/>
        <v>103.56</v>
      </c>
    </row>
    <row r="26" spans="1:6" x14ac:dyDescent="0.2">
      <c r="A26" t="s">
        <v>48</v>
      </c>
      <c r="B26" t="s">
        <v>44</v>
      </c>
      <c r="C26" t="s">
        <v>49</v>
      </c>
      <c r="D26">
        <v>4</v>
      </c>
      <c r="E26" s="1">
        <v>7.91</v>
      </c>
      <c r="F26" s="1">
        <f t="shared" si="1"/>
        <v>31.64</v>
      </c>
    </row>
    <row r="27" spans="1:6" x14ac:dyDescent="0.2">
      <c r="A27" t="s">
        <v>50</v>
      </c>
      <c r="B27" t="s">
        <v>44</v>
      </c>
      <c r="C27" s="8">
        <v>3321</v>
      </c>
      <c r="D27">
        <v>80</v>
      </c>
      <c r="E27" s="1">
        <v>0.5</v>
      </c>
      <c r="F27" s="1">
        <f t="shared" si="1"/>
        <v>40</v>
      </c>
    </row>
    <row r="28" spans="1:6" x14ac:dyDescent="0.2">
      <c r="A28" t="s">
        <v>51</v>
      </c>
      <c r="B28" t="s">
        <v>44</v>
      </c>
      <c r="C28" s="8">
        <v>2059</v>
      </c>
      <c r="D28">
        <v>2</v>
      </c>
      <c r="E28" s="1">
        <v>6.05</v>
      </c>
      <c r="F28" s="1">
        <f>E28*D28</f>
        <v>12.1</v>
      </c>
    </row>
    <row r="29" spans="1:6" x14ac:dyDescent="0.2">
      <c r="A29" t="s">
        <v>89</v>
      </c>
      <c r="B29" t="s">
        <v>88</v>
      </c>
      <c r="C29" s="8">
        <v>6215</v>
      </c>
      <c r="D29">
        <v>1</v>
      </c>
      <c r="E29" s="1">
        <v>13.64</v>
      </c>
      <c r="F29" s="1">
        <f>E29*D29</f>
        <v>13.64</v>
      </c>
    </row>
    <row r="30" spans="1:6" x14ac:dyDescent="0.2">
      <c r="F30" s="1"/>
    </row>
    <row r="31" spans="1:6" x14ac:dyDescent="0.2">
      <c r="A31" t="s">
        <v>84</v>
      </c>
      <c r="B31" t="s">
        <v>54</v>
      </c>
      <c r="C31" t="s">
        <v>55</v>
      </c>
      <c r="D31">
        <v>1</v>
      </c>
      <c r="E31" s="1">
        <v>11.99</v>
      </c>
      <c r="F31" s="1">
        <f t="shared" si="1"/>
        <v>11.99</v>
      </c>
    </row>
    <row r="32" spans="1:6" x14ac:dyDescent="0.2">
      <c r="A32" t="s">
        <v>57</v>
      </c>
      <c r="B32" t="s">
        <v>54</v>
      </c>
      <c r="C32" s="5" t="s">
        <v>56</v>
      </c>
      <c r="D32">
        <v>1</v>
      </c>
      <c r="E32" s="1">
        <v>16.989999999999998</v>
      </c>
      <c r="F32" s="1">
        <f t="shared" si="1"/>
        <v>16.989999999999998</v>
      </c>
    </row>
    <row r="33" spans="1:6" x14ac:dyDescent="0.2">
      <c r="A33" t="s">
        <v>58</v>
      </c>
      <c r="B33" t="s">
        <v>54</v>
      </c>
      <c r="C33" s="5" t="s">
        <v>59</v>
      </c>
      <c r="D33">
        <v>1</v>
      </c>
      <c r="E33" s="1">
        <v>7.99</v>
      </c>
      <c r="F33" s="1">
        <f t="shared" si="1"/>
        <v>7.99</v>
      </c>
    </row>
    <row r="34" spans="1:6" x14ac:dyDescent="0.2">
      <c r="C34" s="2"/>
      <c r="E34" s="1"/>
      <c r="F34" s="1"/>
    </row>
    <row r="35" spans="1:6" x14ac:dyDescent="0.2">
      <c r="E35" t="s">
        <v>5</v>
      </c>
      <c r="F35" s="1">
        <f>SUM(F2:F33)</f>
        <v>4397.13</v>
      </c>
    </row>
    <row r="36" spans="1:6" x14ac:dyDescent="0.2">
      <c r="F36" s="1"/>
    </row>
    <row r="37" spans="1:6" x14ac:dyDescent="0.2">
      <c r="A37" t="s">
        <v>85</v>
      </c>
      <c r="B37" t="s">
        <v>86</v>
      </c>
      <c r="C37" t="s">
        <v>87</v>
      </c>
      <c r="F37" s="1"/>
    </row>
    <row r="39" spans="1:6" x14ac:dyDescent="0.2">
      <c r="A39" s="3" t="s">
        <v>62</v>
      </c>
    </row>
    <row r="41" spans="1:6" x14ac:dyDescent="0.2">
      <c r="A41" s="3" t="s">
        <v>63</v>
      </c>
      <c r="B41" s="3" t="s">
        <v>64</v>
      </c>
    </row>
    <row r="42" spans="1:6" x14ac:dyDescent="0.2">
      <c r="A42" t="s">
        <v>65</v>
      </c>
      <c r="B42" s="9" t="s">
        <v>66</v>
      </c>
      <c r="C42" s="9"/>
      <c r="D42" s="9"/>
      <c r="E42" s="9"/>
      <c r="F42" s="9"/>
    </row>
    <row r="43" spans="1:6" ht="19" customHeight="1" x14ac:dyDescent="0.2">
      <c r="A43" s="7" t="s">
        <v>71</v>
      </c>
      <c r="B43" s="9" t="s">
        <v>72</v>
      </c>
      <c r="C43" s="9"/>
      <c r="D43" s="9"/>
      <c r="E43" s="9"/>
      <c r="F43" s="9"/>
    </row>
    <row r="44" spans="1:6" x14ac:dyDescent="0.2">
      <c r="A44" t="s">
        <v>73</v>
      </c>
      <c r="B44" s="9" t="s">
        <v>74</v>
      </c>
      <c r="C44" s="9"/>
      <c r="D44" s="9"/>
      <c r="E44" s="9"/>
      <c r="F44" s="9"/>
    </row>
    <row r="45" spans="1:6" ht="50" customHeight="1" x14ac:dyDescent="0.2">
      <c r="A45" t="s">
        <v>67</v>
      </c>
      <c r="B45" s="9" t="s">
        <v>68</v>
      </c>
      <c r="C45" s="9"/>
      <c r="D45" s="9"/>
      <c r="E45" s="9"/>
      <c r="F45" s="9"/>
    </row>
    <row r="46" spans="1:6" x14ac:dyDescent="0.2">
      <c r="A46" t="s">
        <v>69</v>
      </c>
      <c r="B46" s="9" t="s">
        <v>70</v>
      </c>
      <c r="C46" s="9"/>
      <c r="D46" s="9"/>
      <c r="E46" s="9"/>
      <c r="F46" s="9"/>
    </row>
    <row r="47" spans="1:6" x14ac:dyDescent="0.2">
      <c r="A47" t="s">
        <v>75</v>
      </c>
      <c r="B47" t="s">
        <v>76</v>
      </c>
    </row>
    <row r="48" spans="1:6" x14ac:dyDescent="0.2">
      <c r="A48" t="s">
        <v>77</v>
      </c>
      <c r="B48" t="s">
        <v>78</v>
      </c>
    </row>
    <row r="49" spans="1:2" x14ac:dyDescent="0.2">
      <c r="A49" t="s">
        <v>79</v>
      </c>
      <c r="B49" t="s">
        <v>80</v>
      </c>
    </row>
  </sheetData>
  <mergeCells count="5">
    <mergeCell ref="B42:F42"/>
    <mergeCell ref="B45:F45"/>
    <mergeCell ref="B46:F46"/>
    <mergeCell ref="B44:F44"/>
    <mergeCell ref="B43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Pu, William</dc:creator>
  <cp:lastModifiedBy>Pu, William</cp:lastModifiedBy>
  <dcterms:created xsi:type="dcterms:W3CDTF">2025-03-04T21:27:18Z</dcterms:created>
  <dcterms:modified xsi:type="dcterms:W3CDTF">2025-08-20T13:08:31Z</dcterms:modified>
</cp:coreProperties>
</file>